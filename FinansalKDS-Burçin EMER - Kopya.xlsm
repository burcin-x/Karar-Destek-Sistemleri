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https://d.docs.live.net/7b0a40054ceef048/Masaüstü/"/>
    </mc:Choice>
  </mc:AlternateContent>
  <xr:revisionPtr revIDLastSave="36" documentId="13_ncr:1_{9DBFC0F1-3741-427A-9125-53867AA64ED2}" xr6:coauthVersionLast="47" xr6:coauthVersionMax="47" xr10:uidLastSave="{3F1FB319-D9BB-40D7-AB54-3FFAF3BC5CF8}"/>
  <bookViews>
    <workbookView xWindow="-108" yWindow="-108" windowWidth="23256" windowHeight="12456" activeTab="1" xr2:uid="{00000000-000D-0000-FFFF-FFFF00000000}"/>
  </bookViews>
  <sheets>
    <sheet name="EVLER" sheetId="1" r:id="rId1"/>
    <sheet name="FDSS" sheetId="2" r:id="rId2"/>
  </sheets>
  <definedNames>
    <definedName name="Borc">FDSS!$C$10</definedName>
    <definedName name="EVLER">EVLER!$A$2:$B$11</definedName>
    <definedName name="Faiz">FDSS!$C$11</definedName>
    <definedName name="Fiyat">FDSS!$C$8</definedName>
    <definedName name="Odeme">FDSS!$C$13</definedName>
    <definedName name="Pesinat">FDSS!$C$9</definedName>
    <definedName name="Yil">FDSS!$C$12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2" l="1"/>
  <c r="C10" i="2"/>
  <c r="A12" i="2"/>
  <c r="C13" i="2"/>
</calcChain>
</file>

<file path=xl/sharedStrings.xml><?xml version="1.0" encoding="utf-8"?>
<sst xmlns="http://schemas.openxmlformats.org/spreadsheetml/2006/main" count="27" uniqueCount="26">
  <si>
    <t>Fiyat</t>
  </si>
  <si>
    <t>Pesinat</t>
  </si>
  <si>
    <t>Borc</t>
  </si>
  <si>
    <t>Faiz</t>
  </si>
  <si>
    <t>Yil</t>
  </si>
  <si>
    <t>Odeme</t>
  </si>
  <si>
    <t>Mecidiyeköy,2+1,200m^2</t>
  </si>
  <si>
    <t>Kadıköy, 3+1, 210m^2</t>
  </si>
  <si>
    <t>Kadıköy, 2+1, 150m^2</t>
  </si>
  <si>
    <t>Cihangir,4+1,215m^2</t>
  </si>
  <si>
    <t>Beşiktaş,3+1,135m^2</t>
  </si>
  <si>
    <t>Ortaköy,4+1,270m^2</t>
  </si>
  <si>
    <t>Üsküdar,4+1,200m^2</t>
  </si>
  <si>
    <t>Çengelköy, 2+1,90m^2</t>
  </si>
  <si>
    <t>Galata, 4+1,168m^2</t>
  </si>
  <si>
    <t>Beyoğlu,2+1,80m^2</t>
  </si>
  <si>
    <t>Satılık Ev</t>
  </si>
  <si>
    <t>Ad Soyad</t>
  </si>
  <si>
    <t>No</t>
  </si>
  <si>
    <t>Öğretim</t>
  </si>
  <si>
    <t>Finansal KDS Ödev</t>
  </si>
  <si>
    <t>Ödeme Planı</t>
  </si>
  <si>
    <t>Ödeme Planı Değer Değiştirme Alanı (Buton)</t>
  </si>
  <si>
    <t>Burçin EMER</t>
  </si>
  <si>
    <t>1.Öğretim</t>
  </si>
  <si>
    <t>şö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</si>
</sst>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$-409]#,##0.00"/>
    <numFmt numFmtId="165" formatCode="&quot;₺&quot;#,##0"/>
    <numFmt numFmtId="166" formatCode="&quot;₺&quot;#,##0.00;[Red]&quot;₺&quot;#,##0.00"/>
  </numFmts>
  <fonts count="6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2"/>
      <color theme="4" tint="-0.249977111117893"/>
      <name val="Calibri"/>
      <family val="2"/>
      <charset val="162"/>
      <scheme val="minor"/>
    </font>
    <font>
      <b/>
      <sz val="14"/>
      <color theme="4" tint="-0.249977111117893"/>
      <name val="Calibri"/>
      <family val="2"/>
      <charset val="162"/>
      <scheme val="minor"/>
    </font>
    <font>
      <b/>
      <sz val="14"/>
      <color theme="5" tint="-0.249977111117893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64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0" fontId="3" fillId="2" borderId="1" xfId="0" applyFon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/>
    <xf numFmtId="0" fontId="1" fillId="0" borderId="1" xfId="0" applyFont="1" applyBorder="1"/>
    <xf numFmtId="0" fontId="0" fillId="3" borderId="0" xfId="0" applyFill="1"/>
    <xf numFmtId="0" fontId="2" fillId="0" borderId="0" xfId="0" applyFont="1" applyAlignment="1">
      <alignment horizontal="center"/>
    </xf>
    <xf numFmtId="10" fontId="3" fillId="3" borderId="2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" fontId="0" fillId="0" borderId="1" xfId="0" applyNumberFormat="1" applyBorder="1"/>
    <xf numFmtId="10" fontId="3" fillId="3" borderId="0" xfId="0" applyNumberFormat="1" applyFont="1" applyFill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165" fontId="5" fillId="3" borderId="3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0" fontId="5" fillId="3" borderId="1" xfId="0" applyNumberFormat="1" applyFont="1" applyFill="1" applyBorder="1" applyAlignment="1">
      <alignment horizontal="center" vertical="center"/>
    </xf>
    <xf numFmtId="166" fontId="4" fillId="3" borderId="1" xfId="0" applyNumberFormat="1" applyFont="1" applyFill="1" applyBorder="1" applyAlignment="1">
      <alignment horizontal="center" vertical="center"/>
    </xf>
    <xf numFmtId="0" fontId="1" fillId="0" borderId="4" xfId="0" applyFont="1" applyBorder="1"/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38100</xdr:colOff>
      <xdr:row>12</xdr:row>
      <xdr:rowOff>64770</xdr:rowOff>
    </xdr:from>
    <xdr:ext cx="312420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Metin kutusu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758940" y="2259330"/>
              <a:ext cx="312420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tr-TR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p>
                        <m:r>
                          <a:rPr lang="tr-T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tr-TR" sz="1100"/>
            </a:p>
          </xdr:txBody>
        </xdr:sp>
      </mc:Choice>
      <mc:Fallback xmlns="">
        <xdr:sp macro="" textlink="">
          <xdr:nvSpPr>
            <xdr:cNvPr id="2" name="Metin kutusu 1"/>
            <xdr:cNvSpPr txBox="1"/>
          </xdr:nvSpPr>
          <xdr:spPr>
            <a:xfrm>
              <a:off x="6758940" y="2259330"/>
              <a:ext cx="312420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tr-TR" sz="1100" b="0" i="0">
                  <a:latin typeface="Cambria Math" panose="02040503050406030204" pitchFamily="18" charset="0"/>
                </a:rPr>
                <a:t>𝑚^2</a:t>
              </a:r>
              <a:endParaRPr lang="tr-TR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891540</xdr:colOff>
      <xdr:row>5</xdr:row>
      <xdr:rowOff>304800</xdr:rowOff>
    </xdr:from>
    <xdr:to>
      <xdr:col>7</xdr:col>
      <xdr:colOff>297180</xdr:colOff>
      <xdr:row>14</xdr:row>
      <xdr:rowOff>152400</xdr:rowOff>
    </xdr:to>
    <xdr:sp macro="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13960" y="1219200"/>
          <a:ext cx="3154680" cy="26593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944880</xdr:colOff>
          <xdr:row>6</xdr:row>
          <xdr:rowOff>83820</xdr:rowOff>
        </xdr:from>
        <xdr:to>
          <xdr:col>5</xdr:col>
          <xdr:colOff>2735580</xdr:colOff>
          <xdr:row>8</xdr:row>
          <xdr:rowOff>106680</xdr:rowOff>
        </xdr:to>
        <xdr:sp macro="" textlink="">
          <xdr:nvSpPr>
            <xdr:cNvPr id="2049" name="cmbFiya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1021080</xdr:colOff>
          <xdr:row>8</xdr:row>
          <xdr:rowOff>236220</xdr:rowOff>
        </xdr:from>
        <xdr:to>
          <xdr:col>5</xdr:col>
          <xdr:colOff>2674620</xdr:colOff>
          <xdr:row>9</xdr:row>
          <xdr:rowOff>175260</xdr:rowOff>
        </xdr:to>
        <xdr:sp macro="" textlink="">
          <xdr:nvSpPr>
            <xdr:cNvPr id="2050" name="spbPesina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990600</xdr:colOff>
          <xdr:row>11</xdr:row>
          <xdr:rowOff>114300</xdr:rowOff>
        </xdr:from>
        <xdr:to>
          <xdr:col>5</xdr:col>
          <xdr:colOff>2735580</xdr:colOff>
          <xdr:row>12</xdr:row>
          <xdr:rowOff>99060</xdr:rowOff>
        </xdr:to>
        <xdr:sp macro="" textlink="">
          <xdr:nvSpPr>
            <xdr:cNvPr id="2051" name="spbYil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952500</xdr:colOff>
          <xdr:row>10</xdr:row>
          <xdr:rowOff>7620</xdr:rowOff>
        </xdr:from>
        <xdr:to>
          <xdr:col>5</xdr:col>
          <xdr:colOff>2682240</xdr:colOff>
          <xdr:row>10</xdr:row>
          <xdr:rowOff>289560</xdr:rowOff>
        </xdr:to>
        <xdr:sp macro="" textlink="">
          <xdr:nvSpPr>
            <xdr:cNvPr id="2052" name="scbFaiz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B11"/>
  <sheetViews>
    <sheetView zoomScale="130" zoomScaleNormal="130" workbookViewId="0">
      <selection activeCell="C11" sqref="C11"/>
    </sheetView>
  </sheetViews>
  <sheetFormatPr defaultRowHeight="14.4" x14ac:dyDescent="0.3"/>
  <cols>
    <col min="1" max="1" width="22.77734375" customWidth="1"/>
    <col min="2" max="2" width="21.88671875" customWidth="1"/>
  </cols>
  <sheetData>
    <row r="1" spans="1:2" ht="18" x14ac:dyDescent="0.35">
      <c r="A1" s="4" t="s">
        <v>16</v>
      </c>
      <c r="B1" s="4" t="s">
        <v>0</v>
      </c>
    </row>
    <row r="2" spans="1:2" x14ac:dyDescent="0.3">
      <c r="A2" s="5" t="s">
        <v>6</v>
      </c>
      <c r="B2" s="6">
        <v>2300000</v>
      </c>
    </row>
    <row r="3" spans="1:2" x14ac:dyDescent="0.3">
      <c r="A3" s="5" t="s">
        <v>7</v>
      </c>
      <c r="B3" s="6">
        <v>7500000</v>
      </c>
    </row>
    <row r="4" spans="1:2" x14ac:dyDescent="0.3">
      <c r="A4" s="5" t="s">
        <v>8</v>
      </c>
      <c r="B4" s="6">
        <v>4500000</v>
      </c>
    </row>
    <row r="5" spans="1:2" x14ac:dyDescent="0.3">
      <c r="A5" s="5" t="s">
        <v>9</v>
      </c>
      <c r="B5" s="6">
        <v>11000000</v>
      </c>
    </row>
    <row r="6" spans="1:2" x14ac:dyDescent="0.3">
      <c r="A6" s="5" t="s">
        <v>10</v>
      </c>
      <c r="B6" s="6">
        <v>9500000</v>
      </c>
    </row>
    <row r="7" spans="1:2" x14ac:dyDescent="0.3">
      <c r="A7" s="5" t="s">
        <v>11</v>
      </c>
      <c r="B7" s="6">
        <v>9850000</v>
      </c>
    </row>
    <row r="8" spans="1:2" x14ac:dyDescent="0.3">
      <c r="A8" s="5" t="s">
        <v>12</v>
      </c>
      <c r="B8" s="6">
        <v>7100000</v>
      </c>
    </row>
    <row r="9" spans="1:2" x14ac:dyDescent="0.3">
      <c r="A9" s="5" t="s">
        <v>13</v>
      </c>
      <c r="B9" s="6">
        <v>2100000</v>
      </c>
    </row>
    <row r="10" spans="1:2" x14ac:dyDescent="0.3">
      <c r="A10" s="5" t="s">
        <v>14</v>
      </c>
      <c r="B10" s="6">
        <v>10500000</v>
      </c>
    </row>
    <row r="11" spans="1:2" x14ac:dyDescent="0.3">
      <c r="A11" s="5" t="s">
        <v>15</v>
      </c>
      <c r="B11" s="6">
        <v>6150000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K28"/>
  <sheetViews>
    <sheetView tabSelected="1" zoomScale="93" workbookViewId="0">
      <selection activeCell="C13" sqref="C13"/>
    </sheetView>
  </sheetViews>
  <sheetFormatPr defaultRowHeight="14.4" x14ac:dyDescent="0.3"/>
  <cols>
    <col min="1" max="1" width="34.88671875" bestFit="1" customWidth="1"/>
    <col min="2" max="2" width="14.77734375" bestFit="1" customWidth="1"/>
    <col min="3" max="3" width="14.33203125" customWidth="1"/>
    <col min="4" max="4" width="9.109375" bestFit="1" customWidth="1"/>
    <col min="5" max="5" width="17.44140625" customWidth="1"/>
    <col min="6" max="6" width="49.44140625" bestFit="1" customWidth="1"/>
    <col min="7" max="13" width="12.33203125" customWidth="1"/>
  </cols>
  <sheetData>
    <row r="1" spans="1:8" x14ac:dyDescent="0.3">
      <c r="A1" s="23" t="s">
        <v>20</v>
      </c>
      <c r="B1" s="23"/>
      <c r="C1" s="23"/>
      <c r="D1" s="23"/>
    </row>
    <row r="2" spans="1:8" x14ac:dyDescent="0.3">
      <c r="A2" s="3"/>
      <c r="B2" s="7" t="s">
        <v>17</v>
      </c>
      <c r="C2" s="7" t="s">
        <v>18</v>
      </c>
      <c r="D2" s="7" t="s">
        <v>19</v>
      </c>
      <c r="F2" s="22" t="s">
        <v>25</v>
      </c>
    </row>
    <row r="3" spans="1:8" x14ac:dyDescent="0.3">
      <c r="A3" s="2">
        <v>1</v>
      </c>
      <c r="B3" s="3" t="s">
        <v>23</v>
      </c>
      <c r="C3" s="13">
        <v>151320181083</v>
      </c>
      <c r="D3" s="3" t="s">
        <v>24</v>
      </c>
    </row>
    <row r="4" spans="1:8" x14ac:dyDescent="0.3">
      <c r="A4" s="2">
        <v>2</v>
      </c>
      <c r="B4" s="3"/>
      <c r="C4" s="3"/>
      <c r="D4" s="3"/>
    </row>
    <row r="5" spans="1:8" x14ac:dyDescent="0.3">
      <c r="A5" s="2">
        <v>3</v>
      </c>
      <c r="B5" s="3"/>
      <c r="C5" s="3"/>
      <c r="D5" s="3"/>
      <c r="F5" s="1"/>
    </row>
    <row r="6" spans="1:8" ht="25.05" customHeight="1" x14ac:dyDescent="0.35">
      <c r="A6" s="8"/>
      <c r="B6" s="14" t="s">
        <v>21</v>
      </c>
      <c r="C6" s="14"/>
      <c r="D6" s="14"/>
      <c r="E6" s="8"/>
      <c r="F6" s="11" t="s">
        <v>22</v>
      </c>
      <c r="G6" s="11"/>
      <c r="H6" s="11"/>
    </row>
    <row r="7" spans="1:8" ht="25.05" customHeight="1" x14ac:dyDescent="0.35">
      <c r="A7" s="12"/>
      <c r="B7" s="10"/>
      <c r="C7" s="10"/>
      <c r="D7" s="12"/>
      <c r="E7" s="12"/>
      <c r="F7" s="8"/>
      <c r="G7" s="8"/>
      <c r="H7" s="8"/>
    </row>
    <row r="8" spans="1:8" ht="25.05" customHeight="1" x14ac:dyDescent="0.3">
      <c r="A8" s="12"/>
      <c r="B8" s="15" t="s">
        <v>0</v>
      </c>
      <c r="C8" s="16">
        <v>11000000</v>
      </c>
      <c r="D8" s="12"/>
      <c r="E8" s="12"/>
      <c r="F8" s="8"/>
      <c r="G8" s="8"/>
      <c r="H8" s="8"/>
    </row>
    <row r="9" spans="1:8" ht="25.05" customHeight="1" x14ac:dyDescent="0.3">
      <c r="A9" s="12" t="str">
        <f ca="1">_xlfn.FORMULATEXT(Borc)</f>
        <v>=Fiyat*(1-Pesinat)</v>
      </c>
      <c r="B9" s="17" t="s">
        <v>1</v>
      </c>
      <c r="C9" s="18">
        <v>1</v>
      </c>
      <c r="D9" s="12"/>
      <c r="E9" s="12"/>
      <c r="F9" s="8"/>
      <c r="G9" s="8"/>
      <c r="H9" s="8"/>
    </row>
    <row r="10" spans="1:8" ht="25.05" customHeight="1" x14ac:dyDescent="0.3">
      <c r="A10" s="12"/>
      <c r="B10" s="17" t="s">
        <v>2</v>
      </c>
      <c r="C10" s="19">
        <f>Fiyat*(1-Pesinat)</f>
        <v>0</v>
      </c>
      <c r="D10" s="12"/>
      <c r="E10" s="12"/>
      <c r="F10" s="8"/>
      <c r="G10" s="8"/>
      <c r="H10" s="8"/>
    </row>
    <row r="11" spans="1:8" ht="25.05" customHeight="1" x14ac:dyDescent="0.3">
      <c r="A11" s="12"/>
      <c r="B11" s="17" t="s">
        <v>3</v>
      </c>
      <c r="C11" s="20">
        <v>0.28999999999999998</v>
      </c>
      <c r="D11" s="12"/>
      <c r="E11" s="12"/>
      <c r="F11" s="8"/>
      <c r="G11" s="8"/>
      <c r="H11" s="8"/>
    </row>
    <row r="12" spans="1:8" ht="25.05" customHeight="1" x14ac:dyDescent="0.3">
      <c r="A12" s="12" t="str">
        <f ca="1">_xlfn.FORMULATEXT(Odeme)</f>
        <v>=DEVRESEL_ÖDEME(Faiz/12;Yil*12;Borc)</v>
      </c>
      <c r="B12" s="17" t="s">
        <v>4</v>
      </c>
      <c r="C12" s="19">
        <v>6</v>
      </c>
      <c r="D12" s="12"/>
      <c r="E12" s="12"/>
      <c r="F12" s="8"/>
      <c r="G12" s="8"/>
      <c r="H12" s="8"/>
    </row>
    <row r="13" spans="1:8" ht="25.05" customHeight="1" x14ac:dyDescent="0.3">
      <c r="A13" s="12"/>
      <c r="B13" s="17" t="s">
        <v>5</v>
      </c>
      <c r="C13" s="21">
        <f>PMT(Faiz/12,Yil*12,Borc)</f>
        <v>0</v>
      </c>
      <c r="D13" s="12"/>
      <c r="E13" s="12"/>
      <c r="F13" s="8"/>
      <c r="G13" s="8"/>
      <c r="H13" s="8"/>
    </row>
    <row r="14" spans="1:8" ht="25.05" customHeight="1" x14ac:dyDescent="0.3">
      <c r="A14" s="8"/>
      <c r="B14" s="8"/>
      <c r="C14" s="8"/>
      <c r="D14" s="8"/>
      <c r="E14" s="8"/>
      <c r="F14" s="8"/>
      <c r="G14" s="8"/>
      <c r="H14" s="8"/>
    </row>
    <row r="15" spans="1:8" ht="25.05" customHeight="1" x14ac:dyDescent="0.3">
      <c r="A15" s="8"/>
      <c r="B15" s="8"/>
      <c r="C15" s="8"/>
      <c r="D15" s="8"/>
      <c r="E15" s="8"/>
      <c r="F15" s="8"/>
      <c r="G15" s="8"/>
      <c r="H15" s="8"/>
    </row>
    <row r="16" spans="1:8" ht="25.05" customHeight="1" x14ac:dyDescent="0.3">
      <c r="A16" s="8"/>
      <c r="B16" s="8"/>
      <c r="C16" s="8"/>
      <c r="D16" s="8"/>
      <c r="E16" s="8"/>
      <c r="F16" s="8"/>
      <c r="G16" s="8"/>
      <c r="H16" s="8"/>
    </row>
    <row r="17" spans="1:11" ht="25.05" customHeight="1" x14ac:dyDescent="0.3">
      <c r="A17" s="8"/>
      <c r="B17" s="8"/>
      <c r="C17" s="8"/>
      <c r="D17" s="8"/>
      <c r="E17" s="8"/>
      <c r="F17" s="8"/>
      <c r="G17" s="8"/>
      <c r="H17" s="8"/>
      <c r="K17" s="9"/>
    </row>
    <row r="18" spans="1:11" ht="34.200000000000003" customHeight="1" x14ac:dyDescent="0.3"/>
    <row r="19" spans="1:11" ht="37.799999999999997" customHeight="1" x14ac:dyDescent="0.3"/>
    <row r="20" spans="1:11" ht="37.799999999999997" customHeight="1" x14ac:dyDescent="0.3"/>
    <row r="21" spans="1:11" ht="32.4" customHeight="1" x14ac:dyDescent="0.3"/>
    <row r="22" spans="1:11" ht="35.4" customHeight="1" x14ac:dyDescent="0.3"/>
    <row r="23" spans="1:11" ht="40.799999999999997" customHeight="1" x14ac:dyDescent="0.3"/>
    <row r="24" spans="1:11" ht="22.8" customHeight="1" x14ac:dyDescent="0.3"/>
    <row r="25" spans="1:11" ht="22.8" customHeight="1" x14ac:dyDescent="0.3"/>
    <row r="26" spans="1:11" ht="22.8" customHeight="1" x14ac:dyDescent="0.3"/>
    <row r="27" spans="1:11" ht="22.8" customHeight="1" x14ac:dyDescent="0.3"/>
    <row r="28" spans="1:11" ht="22.8" customHeight="1" x14ac:dyDescent="0.3"/>
  </sheetData>
  <sheetProtection sheet="1" objects="1" scenarios="1"/>
  <mergeCells count="1">
    <mergeCell ref="A1:D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bFiyat">
          <controlPr defaultSize="0" autoLine="0" listFillRange="EVLER" r:id="rId5">
            <anchor moveWithCells="1">
              <from>
                <xdr:col>5</xdr:col>
                <xdr:colOff>944880</xdr:colOff>
                <xdr:row>6</xdr:row>
                <xdr:rowOff>83820</xdr:rowOff>
              </from>
              <to>
                <xdr:col>5</xdr:col>
                <xdr:colOff>2735580</xdr:colOff>
                <xdr:row>8</xdr:row>
                <xdr:rowOff>106680</xdr:rowOff>
              </to>
            </anchor>
          </controlPr>
        </control>
      </mc:Choice>
      <mc:Fallback>
        <control shapeId="2049" r:id="rId4" name="cmbFiyat"/>
      </mc:Fallback>
    </mc:AlternateContent>
    <mc:AlternateContent xmlns:mc="http://schemas.openxmlformats.org/markup-compatibility/2006">
      <mc:Choice Requires="x14">
        <control shapeId="2050" r:id="rId6" name="spbPesinat">
          <controlPr defaultSize="0" autoLine="0" r:id="rId7">
            <anchor moveWithCells="1">
              <from>
                <xdr:col>5</xdr:col>
                <xdr:colOff>1021080</xdr:colOff>
                <xdr:row>8</xdr:row>
                <xdr:rowOff>236220</xdr:rowOff>
              </from>
              <to>
                <xdr:col>5</xdr:col>
                <xdr:colOff>2674620</xdr:colOff>
                <xdr:row>9</xdr:row>
                <xdr:rowOff>175260</xdr:rowOff>
              </to>
            </anchor>
          </controlPr>
        </control>
      </mc:Choice>
      <mc:Fallback>
        <control shapeId="2050" r:id="rId6" name="spbPesinat"/>
      </mc:Fallback>
    </mc:AlternateContent>
    <mc:AlternateContent xmlns:mc="http://schemas.openxmlformats.org/markup-compatibility/2006">
      <mc:Choice Requires="x14">
        <control shapeId="2051" r:id="rId8" name="spbYil">
          <controlPr defaultSize="0" autoLine="0" r:id="rId9">
            <anchor moveWithCells="1">
              <from>
                <xdr:col>5</xdr:col>
                <xdr:colOff>990600</xdr:colOff>
                <xdr:row>11</xdr:row>
                <xdr:rowOff>114300</xdr:rowOff>
              </from>
              <to>
                <xdr:col>5</xdr:col>
                <xdr:colOff>2735580</xdr:colOff>
                <xdr:row>12</xdr:row>
                <xdr:rowOff>99060</xdr:rowOff>
              </to>
            </anchor>
          </controlPr>
        </control>
      </mc:Choice>
      <mc:Fallback>
        <control shapeId="2051" r:id="rId8" name="spbYil"/>
      </mc:Fallback>
    </mc:AlternateContent>
    <mc:AlternateContent xmlns:mc="http://schemas.openxmlformats.org/markup-compatibility/2006">
      <mc:Choice Requires="x14">
        <control shapeId="2052" r:id="rId10" name="scbFaiz">
          <controlPr defaultSize="0" autoLine="0" r:id="rId11">
            <anchor moveWithCells="1">
              <from>
                <xdr:col>5</xdr:col>
                <xdr:colOff>952500</xdr:colOff>
                <xdr:row>10</xdr:row>
                <xdr:rowOff>7620</xdr:rowOff>
              </from>
              <to>
                <xdr:col>5</xdr:col>
                <xdr:colOff>2682240</xdr:colOff>
                <xdr:row>10</xdr:row>
                <xdr:rowOff>289560</xdr:rowOff>
              </to>
            </anchor>
          </controlPr>
        </control>
      </mc:Choice>
      <mc:Fallback>
        <control shapeId="2052" r:id="rId10" name="scbFai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867A93-E249-4AE2-8E3D-94F586A4F8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</vt:i4>
      </vt:variant>
      <vt:variant>
        <vt:lpstr>Adlandırılmış Aralıklar</vt:lpstr>
      </vt:variant>
      <vt:variant>
        <vt:i4>7</vt:i4>
      </vt:variant>
    </vt:vector>
  </HeadingPairs>
  <TitlesOfParts>
    <vt:vector size="9" baseType="lpstr">
      <vt:lpstr>EVLER</vt:lpstr>
      <vt:lpstr>FDSS</vt:lpstr>
      <vt:lpstr>Borc</vt:lpstr>
      <vt:lpstr>EVLER</vt:lpstr>
      <vt:lpstr>Faiz</vt:lpstr>
      <vt:lpstr>Fiyat</vt:lpstr>
      <vt:lpstr>Odeme</vt:lpstr>
      <vt:lpstr>Pesinat</vt:lpstr>
      <vt:lpstr>Yil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byz</dc:creator>
  <cp:lastModifiedBy>burçin emer</cp:lastModifiedBy>
  <dcterms:created xsi:type="dcterms:W3CDTF">2022-12-02T08:53:17Z</dcterms:created>
  <dcterms:modified xsi:type="dcterms:W3CDTF">2023-01-06T16:22:35Z</dcterms:modified>
</cp:coreProperties>
</file>